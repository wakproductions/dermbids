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2416" codeName="{B7FE6334-C1A2-E50D-BD3D-5F4D41BBC2E3}"/>
  <workbookPr codeName="ThisWorkbook" autoCompressPictures="0"/>
  <bookViews>
    <workbookView xWindow="120" yWindow="40" windowWidth="19020" windowHeight="11640"/>
  </bookViews>
  <sheets>
    <sheet name="Timecard" sheetId="1" r:id="rId1"/>
    <sheet name="Sprints" sheetId="2" r:id="rId2"/>
    <sheet name="Sheet3" sheetId="3" r:id="rId3"/>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15" i="1" l="1"/>
  <c r="G15" i="1"/>
  <c r="D17" i="1"/>
  <c r="G17" i="1"/>
  <c r="D21" i="1"/>
  <c r="D22" i="1"/>
  <c r="G22" i="1"/>
  <c r="D23" i="1"/>
  <c r="G23" i="1"/>
  <c r="D24" i="1"/>
  <c r="G24" i="1"/>
  <c r="D25" i="1"/>
  <c r="G25" i="1"/>
  <c r="D26" i="1"/>
  <c r="G26" i="1"/>
  <c r="G14" i="1"/>
  <c r="D13" i="1"/>
  <c r="G13" i="1"/>
  <c r="G11" i="1"/>
  <c r="G10" i="1"/>
  <c r="G7" i="1"/>
  <c r="G6" i="1"/>
  <c r="A32" i="1"/>
  <c r="A33" i="1"/>
  <c r="D4" i="1"/>
  <c r="D5" i="1"/>
  <c r="D8" i="1"/>
  <c r="D9" i="1"/>
  <c r="D12" i="1"/>
  <c r="D16" i="1"/>
  <c r="G16" i="1"/>
  <c r="D18" i="1"/>
  <c r="G18" i="1"/>
  <c r="D19" i="1"/>
  <c r="G19" i="1"/>
  <c r="D20" i="1"/>
  <c r="G20" i="1"/>
  <c r="D27" i="1"/>
  <c r="D28" i="1"/>
  <c r="D29" i="1"/>
  <c r="D30" i="1"/>
  <c r="D31"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D3" i="1"/>
  <c r="A13" i="1"/>
  <c r="A17" i="1"/>
  <c r="A18" i="1"/>
  <c r="A19" i="1"/>
  <c r="A20" i="1"/>
  <c r="A22" i="1"/>
  <c r="A23" i="1"/>
  <c r="A24" i="1"/>
  <c r="A25" i="1"/>
  <c r="A26" i="1"/>
  <c r="A27" i="1"/>
  <c r="A29" i="1"/>
  <c r="A30" i="1"/>
  <c r="A31" i="1"/>
  <c r="A37" i="1"/>
  <c r="A38"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G1" i="1"/>
  <c r="I1" i="1"/>
</calcChain>
</file>

<file path=xl/sharedStrings.xml><?xml version="1.0" encoding="utf-8"?>
<sst xmlns="http://schemas.openxmlformats.org/spreadsheetml/2006/main" count="47" uniqueCount="42">
  <si>
    <t>Date</t>
  </si>
  <si>
    <t>Clock In</t>
  </si>
  <si>
    <t>Clock Out</t>
  </si>
  <si>
    <t>Work Notes</t>
  </si>
  <si>
    <t>Discounted Hours</t>
  </si>
  <si>
    <t>Net Hours</t>
  </si>
  <si>
    <t>Clocked Hours</t>
  </si>
  <si>
    <t>Discount Reason</t>
  </si>
  <si>
    <t>Viewed RailsCast / Research for SASS</t>
  </si>
  <si>
    <t>Sprint Goal</t>
  </si>
  <si>
    <t>Date Established</t>
  </si>
  <si>
    <t>Sprint ID</t>
  </si>
  <si>
    <t>New Layout Design per Jeff</t>
  </si>
  <si>
    <t>Parent Sprint</t>
  </si>
  <si>
    <t>New fish feed</t>
  </si>
  <si>
    <t>Status</t>
  </si>
  <si>
    <t>In Process</t>
  </si>
  <si>
    <t>Tile box CSS/HTML</t>
  </si>
  <si>
    <t>Done</t>
  </si>
  <si>
    <t>Pending</t>
  </si>
  <si>
    <t>Rearrange tagging information - state required</t>
  </si>
  <si>
    <t>Sprint</t>
  </si>
  <si>
    <t>Photo profile/detail page</t>
  </si>
  <si>
    <t>Worked on defining first sprint requirements</t>
  </si>
  <si>
    <t>Call with Eric. Review and tweaks of requirements.</t>
  </si>
  <si>
    <t>Worked on it a lot during the workday, but much of it was TDD learning</t>
  </si>
  <si>
    <t>Call with Eric. Review where we are at in development.</t>
  </si>
  <si>
    <t>Worked on structure for submitting email to clinics.</t>
  </si>
  <si>
    <t>Worked on the mailer to the clinic during work day.</t>
  </si>
  <si>
    <t>Had a problem debugging something so I took time off - working on the function that sends and logs message to clinic</t>
  </si>
  <si>
    <t>Continued work on email system &amp; filtering/display of clinics to send quote requests to</t>
  </si>
  <si>
    <t>Planned out structure for sending patient details to clinic</t>
  </si>
  <si>
    <t>Refactoring code to handle the sending of full patient details to clinic</t>
  </si>
  <si>
    <t>Continued refactoring of email system to accommodate "send patient full details"</t>
  </si>
  <si>
    <t>Finished refactoring/testing email system, begin planning for image display enhancements + sample data load</t>
  </si>
  <si>
    <t>Working on setup of production server.</t>
  </si>
  <si>
    <t>Finished setup of demo on production server and 30 min status discussion with Eric.</t>
  </si>
  <si>
    <t>Working on installing paperclip</t>
  </si>
  <si>
    <t>Ran into VirtualBox boot problem.</t>
  </si>
  <si>
    <t xml:space="preserve">Got paperclip configured and connected to S3 </t>
  </si>
  <si>
    <t>Didn't track hours, so this is an estimation. Did much progress on the site, including two 1.5 hour calls with Eric.  Made categorization of quote requests by status. Cosmetic work on display, and buttons on website to allow Eric to manage quote requests by changing status or sending messages to providers.</t>
  </si>
  <si>
    <t>Got email template working for sending to patient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</si>
</sst>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4" x14ac:knownFonts="1">
    <font>
      <sz val="11"/>
      <color theme="1"/>
      <name val="Calibri"/>
      <family val="2"/>
      <scheme val="minor"/>
    </font>
    <font>
      <b/>
      <sz val="11"/>
      <color theme="1"/>
      <name val="Calibri"/>
      <family val="2"/>
      <scheme val="minor"/>
    </font>
    <font>
      <sz val="11"/>
      <color theme="1"/>
      <name val="Calibri"/>
      <family val="2"/>
      <scheme val="minor"/>
    </font>
    <font>
      <sz val="11"/>
      <color rgb="FF000000"/>
      <name val="Calibri"/>
    </font>
  </fonts>
  <fills count="2">
    <fill>
      <patternFill patternType="none"/>
    </fill>
    <fill>
      <patternFill patternType="gray125"/>
    </fill>
  </fills>
  <borders count="1">
    <border>
      <left/>
      <right/>
      <top/>
      <bottom/>
      <diagonal/>
    </border>
  </borders>
  <cellStyleXfs count="2">
    <xf numFmtId="0" fontId="0" fillId="0" borderId="0"/>
    <xf numFmtId="44" fontId="2" fillId="0" borderId="0" applyFont="0" applyFill="0" applyBorder="0" applyAlignment="0" applyProtection="0"/>
  </cellStyleXfs>
  <cellXfs count="11">
    <xf numFmtId="0" fontId="0" fillId="0" borderId="0" xfId="0"/>
    <xf numFmtId="14" fontId="0" fillId="0" borderId="0" xfId="0" applyNumberFormat="1"/>
    <xf numFmtId="22" fontId="0" fillId="0" borderId="0" xfId="0" applyNumberFormat="1"/>
    <xf numFmtId="2" fontId="0" fillId="0" borderId="0" xfId="0" applyNumberFormat="1"/>
    <xf numFmtId="0" fontId="1" fillId="0" borderId="0" xfId="0" applyFont="1"/>
    <xf numFmtId="0" fontId="0" fillId="0" borderId="0" xfId="0" applyAlignment="1">
      <alignment wrapText="1"/>
    </xf>
    <xf numFmtId="0" fontId="1" fillId="0" borderId="0" xfId="0" applyFont="1" applyAlignment="1">
      <alignment wrapText="1"/>
    </xf>
    <xf numFmtId="0" fontId="0" fillId="0" borderId="0" xfId="1" applyNumberFormat="1" applyFont="1"/>
    <xf numFmtId="0" fontId="1" fillId="0" borderId="0" xfId="0" applyNumberFormat="1" applyFont="1"/>
    <xf numFmtId="0" fontId="0" fillId="0" borderId="0" xfId="0" applyNumberFormat="1"/>
    <xf numFmtId="44" fontId="0" fillId="0" borderId="0" xfId="1" applyFont="1" applyAlignment="1">
      <alignment wrapText="1"/>
    </xf>
  </cellXfs>
  <cellStyles count="2">
    <cellStyle name="Currency" xfId="1" builtinId="4"/>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38100</xdr:rowOff>
        </xdr:from>
        <xdr:to>
          <xdr:col>2</xdr:col>
          <xdr:colOff>50800</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Punch Time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I101"/>
  <sheetViews>
    <sheetView tabSelected="1" workbookViewId="0">
      <pane ySplit="2" topLeftCell="A3" activePane="bottomLeft" state="frozenSplit"/>
      <selection pane="bottomLeft" activeCell="I23" sqref="I23"/>
    </sheetView>
  </sheetViews>
  <sheetFormatPr baseColWidth="10" defaultColWidth="8.83203125" defaultRowHeight="14" outlineLevelCol="1" x14ac:dyDescent="0"/>
  <cols>
    <col min="1" max="1" width="21.33203125" customWidth="1"/>
    <col min="2" max="2" width="17.6640625" customWidth="1"/>
    <col min="3" max="3" width="19.33203125" customWidth="1"/>
    <col min="4" max="4" width="15.33203125" hidden="1" customWidth="1" outlineLevel="1"/>
    <col min="5" max="6" width="16.1640625" hidden="1" customWidth="1" outlineLevel="1"/>
    <col min="7" max="7" width="16.5" customWidth="1" collapsed="1"/>
    <col min="8" max="8" width="5.83203125" style="9" customWidth="1"/>
    <col min="9" max="9" width="93.83203125" style="5" customWidth="1"/>
  </cols>
  <sheetData>
    <row r="1" spans="1:9" ht="30" customHeight="1">
      <c r="G1" s="7">
        <f>SUM(G3:G102)</f>
        <v>71.198333333409394</v>
      </c>
      <c r="H1" s="7">
        <v>80</v>
      </c>
      <c r="I1" s="10">
        <f>G1*H1</f>
        <v>5695.8666666727513</v>
      </c>
    </row>
    <row r="2" spans="1:9" s="4" customFormat="1">
      <c r="A2" s="4" t="s">
        <v>0</v>
      </c>
      <c r="B2" s="4" t="s">
        <v>1</v>
      </c>
      <c r="C2" s="4" t="s">
        <v>2</v>
      </c>
      <c r="D2" s="4" t="s">
        <v>6</v>
      </c>
      <c r="E2" s="4" t="s">
        <v>4</v>
      </c>
      <c r="F2" s="4" t="s">
        <v>7</v>
      </c>
      <c r="G2" s="4" t="s">
        <v>5</v>
      </c>
      <c r="H2" s="8" t="s">
        <v>21</v>
      </c>
      <c r="I2" s="6" t="s">
        <v>3</v>
      </c>
    </row>
    <row r="3" spans="1:9">
      <c r="A3" s="1">
        <v>41530</v>
      </c>
      <c r="B3" s="2"/>
      <c r="C3" s="2"/>
      <c r="D3" s="3">
        <f>(C3-B3)*24</f>
        <v>0</v>
      </c>
      <c r="G3" s="3">
        <v>2</v>
      </c>
      <c r="I3" s="5" t="s">
        <v>23</v>
      </c>
    </row>
    <row r="4" spans="1:9">
      <c r="A4" s="1">
        <v>41532</v>
      </c>
      <c r="B4" s="2"/>
      <c r="C4" s="2"/>
      <c r="D4" s="3">
        <f t="shared" ref="D4:D68" si="0">(C4-B4)*24</f>
        <v>0</v>
      </c>
      <c r="G4" s="3">
        <v>2</v>
      </c>
      <c r="I4" s="5" t="s">
        <v>23</v>
      </c>
    </row>
    <row r="5" spans="1:9">
      <c r="A5" s="1">
        <v>41534</v>
      </c>
      <c r="B5" s="2"/>
      <c r="C5" s="2"/>
      <c r="D5" s="3">
        <f t="shared" si="0"/>
        <v>0</v>
      </c>
      <c r="G5" s="3">
        <v>1.5</v>
      </c>
      <c r="I5" s="5" t="s">
        <v>24</v>
      </c>
    </row>
    <row r="6" spans="1:9">
      <c r="A6" s="1">
        <v>41540</v>
      </c>
      <c r="B6" s="2"/>
      <c r="C6" s="2"/>
      <c r="D6" s="3">
        <v>8</v>
      </c>
      <c r="E6">
        <v>7</v>
      </c>
      <c r="F6" t="s">
        <v>8</v>
      </c>
      <c r="G6" s="3">
        <f>IF(E6&lt;&gt;"", D6-E6, "")</f>
        <v>1</v>
      </c>
      <c r="I6" s="5" t="s">
        <v>25</v>
      </c>
    </row>
    <row r="7" spans="1:9">
      <c r="A7" s="1">
        <v>41540</v>
      </c>
      <c r="B7" s="2"/>
      <c r="C7" s="2"/>
      <c r="D7" s="3">
        <v>8</v>
      </c>
      <c r="E7">
        <v>5</v>
      </c>
      <c r="F7" t="s">
        <v>8</v>
      </c>
      <c r="G7" s="3">
        <f>IF(E7&lt;&gt;"", D7-E7, "")</f>
        <v>3</v>
      </c>
      <c r="I7" s="5" t="s">
        <v>25</v>
      </c>
    </row>
    <row r="8" spans="1:9">
      <c r="A8" s="1">
        <v>41548</v>
      </c>
      <c r="B8" s="2"/>
      <c r="C8" s="2"/>
      <c r="D8" s="3">
        <f t="shared" si="0"/>
        <v>0</v>
      </c>
      <c r="G8" s="3">
        <v>0.45</v>
      </c>
      <c r="I8" s="5" t="s">
        <v>26</v>
      </c>
    </row>
    <row r="9" spans="1:9">
      <c r="A9" s="1">
        <v>41548</v>
      </c>
      <c r="B9" s="2"/>
      <c r="C9" s="2"/>
      <c r="D9" s="3">
        <f t="shared" si="0"/>
        <v>0</v>
      </c>
      <c r="G9" s="3">
        <v>5</v>
      </c>
      <c r="I9" s="5" t="s">
        <v>27</v>
      </c>
    </row>
    <row r="10" spans="1:9">
      <c r="A10" s="1">
        <v>41549</v>
      </c>
      <c r="B10" s="2"/>
      <c r="C10" s="2"/>
      <c r="D10" s="3">
        <v>6</v>
      </c>
      <c r="E10">
        <v>1</v>
      </c>
      <c r="G10" s="3">
        <f>IF(E10&lt;&gt;"", D10-E10, "")</f>
        <v>5</v>
      </c>
      <c r="I10" s="5" t="s">
        <v>28</v>
      </c>
    </row>
    <row r="11" spans="1:9">
      <c r="A11" s="1">
        <v>41550</v>
      </c>
      <c r="B11" s="2"/>
      <c r="C11" s="2"/>
      <c r="D11" s="3">
        <v>5</v>
      </c>
      <c r="E11">
        <v>3</v>
      </c>
      <c r="G11" s="3">
        <f>IF(E11&lt;&gt;"", D11-E11, "")</f>
        <v>2</v>
      </c>
      <c r="I11" s="5" t="s">
        <v>29</v>
      </c>
    </row>
    <row r="12" spans="1:9">
      <c r="A12" s="1">
        <v>41551</v>
      </c>
      <c r="B12" s="2"/>
      <c r="C12" s="2"/>
      <c r="D12" s="3">
        <f t="shared" si="0"/>
        <v>0</v>
      </c>
      <c r="G12" s="3">
        <v>6</v>
      </c>
      <c r="I12" s="5" t="s">
        <v>30</v>
      </c>
    </row>
    <row r="13" spans="1:9">
      <c r="A13" s="1">
        <f t="shared" ref="A13:A68" si="1">IF(B13="", "", B13)</f>
        <v>41552.4375</v>
      </c>
      <c r="B13" s="2">
        <v>41552.4375</v>
      </c>
      <c r="C13" s="2">
        <v>41552.465717592589</v>
      </c>
      <c r="D13" s="3">
        <f t="shared" si="0"/>
        <v>0.67722222214797512</v>
      </c>
      <c r="G13" s="3">
        <f>IF(E13&lt;&gt;"", D13-E13, IF(D13&lt;&gt;"", D13, ""))</f>
        <v>0.67722222214797512</v>
      </c>
      <c r="I13" s="5" t="s">
        <v>31</v>
      </c>
    </row>
    <row r="14" spans="1:9">
      <c r="A14" s="1">
        <v>41553</v>
      </c>
      <c r="B14" s="2"/>
      <c r="C14" s="2"/>
      <c r="D14" s="3">
        <v>2.5</v>
      </c>
      <c r="G14" s="3">
        <f>IF(E14&lt;&gt;"", D14-E14, IF(D14&lt;&gt;0, D14, ""))</f>
        <v>2.5</v>
      </c>
      <c r="I14" s="5" t="s">
        <v>32</v>
      </c>
    </row>
    <row r="15" spans="1:9">
      <c r="A15" s="1">
        <v>41554</v>
      </c>
      <c r="B15" s="2">
        <v>41554.583333333336</v>
      </c>
      <c r="C15" s="2">
        <v>41554.791666666664</v>
      </c>
      <c r="D15" s="3">
        <f t="shared" si="0"/>
        <v>4.9999999998835847</v>
      </c>
      <c r="G15" s="3">
        <f t="shared" ref="G15:G26" si="2">IF(E15&lt;&gt;"", D15-E15, IF(D15&lt;&gt;0, D15, ""))</f>
        <v>4.9999999998835847</v>
      </c>
      <c r="I15" s="5" t="s">
        <v>33</v>
      </c>
    </row>
    <row r="16" spans="1:9">
      <c r="A16" s="1">
        <v>41554</v>
      </c>
      <c r="B16" s="2">
        <v>41554.875</v>
      </c>
      <c r="C16" s="2">
        <v>41554.958333333336</v>
      </c>
      <c r="D16" s="3">
        <f t="shared" si="0"/>
        <v>2.0000000000582077</v>
      </c>
      <c r="G16" s="3">
        <f t="shared" si="2"/>
        <v>2.0000000000582077</v>
      </c>
      <c r="I16" s="5" t="s">
        <v>34</v>
      </c>
    </row>
    <row r="17" spans="1:9">
      <c r="A17" s="1">
        <f t="shared" si="1"/>
        <v>41555.814930555556</v>
      </c>
      <c r="B17" s="2">
        <v>41555.814930555556</v>
      </c>
      <c r="C17" s="2">
        <v>41555.853379629632</v>
      </c>
      <c r="D17" s="3">
        <f t="shared" si="0"/>
        <v>0.92277777782874182</v>
      </c>
      <c r="G17" s="3">
        <f t="shared" si="2"/>
        <v>0.92277777782874182</v>
      </c>
      <c r="I17" s="5" t="s">
        <v>35</v>
      </c>
    </row>
    <row r="18" spans="1:9">
      <c r="A18" s="1">
        <f t="shared" si="1"/>
        <v>41555.871608796297</v>
      </c>
      <c r="B18" s="2">
        <v>41555.871608796297</v>
      </c>
      <c r="C18" s="2">
        <v>41555.950856481482</v>
      </c>
      <c r="D18" s="3">
        <f t="shared" si="0"/>
        <v>1.9019444444566034</v>
      </c>
      <c r="G18" s="3">
        <f t="shared" si="2"/>
        <v>1.9019444444566034</v>
      </c>
      <c r="I18" s="5" t="s">
        <v>36</v>
      </c>
    </row>
    <row r="19" spans="1:9">
      <c r="A19" s="1">
        <f t="shared" si="1"/>
        <v>41562.625474537039</v>
      </c>
      <c r="B19" s="2">
        <v>41562.625474537039</v>
      </c>
      <c r="C19" s="2">
        <v>41562.696631944447</v>
      </c>
      <c r="D19" s="3">
        <f t="shared" si="0"/>
        <v>1.7077777778031304</v>
      </c>
      <c r="G19" s="3">
        <f t="shared" si="2"/>
        <v>1.7077777778031304</v>
      </c>
      <c r="I19" s="5" t="s">
        <v>37</v>
      </c>
    </row>
    <row r="20" spans="1:9">
      <c r="A20" s="1">
        <f t="shared" si="1"/>
        <v>41562.758576388886</v>
      </c>
      <c r="B20" s="2">
        <v>41562.758576388886</v>
      </c>
      <c r="C20" s="2">
        <v>41562.907164351855</v>
      </c>
      <c r="D20" s="3">
        <f t="shared" si="0"/>
        <v>3.5661111112567596</v>
      </c>
      <c r="E20">
        <v>1</v>
      </c>
      <c r="F20" t="s">
        <v>38</v>
      </c>
      <c r="G20" s="3">
        <f t="shared" si="2"/>
        <v>2.5661111112567596</v>
      </c>
      <c r="I20" s="5" t="s">
        <v>39</v>
      </c>
    </row>
    <row r="21" spans="1:9" ht="42">
      <c r="A21" s="1">
        <v>41563.791875000003</v>
      </c>
      <c r="B21" s="2">
        <v>41563</v>
      </c>
      <c r="C21" s="2">
        <v>41590.973460648151</v>
      </c>
      <c r="D21" s="3">
        <f t="shared" si="0"/>
        <v>671.36305555561557</v>
      </c>
      <c r="G21" s="3">
        <v>25</v>
      </c>
      <c r="I21" s="5" t="s">
        <v>40</v>
      </c>
    </row>
    <row r="22" spans="1:9">
      <c r="A22" s="1">
        <f t="shared" si="1"/>
        <v>41609.945937500001</v>
      </c>
      <c r="B22" s="2">
        <v>41609.945937500001</v>
      </c>
      <c r="C22" s="2">
        <v>41609.986458333333</v>
      </c>
      <c r="D22" s="3">
        <f t="shared" si="0"/>
        <v>0.97249999997438863</v>
      </c>
      <c r="G22" s="3">
        <f t="shared" si="2"/>
        <v>0.97249999997438863</v>
      </c>
      <c r="I22" s="5" t="s">
        <v>41</v>
      </c>
    </row>
    <row r="23" spans="1:9">
      <c r="A23" s="1" t="str">
        <f t="shared" si="1"/>
        <v/>
      </c>
      <c r="B23" s="2"/>
      <c r="C23" s="2"/>
      <c r="D23" s="3">
        <f t="shared" si="0"/>
        <v>0</v>
      </c>
      <c r="G23" s="3" t="str">
        <f t="shared" si="2"/>
        <v/>
      </c>
    </row>
    <row r="24" spans="1:9">
      <c r="A24" s="1" t="str">
        <f t="shared" si="1"/>
        <v/>
      </c>
      <c r="B24" s="2"/>
      <c r="C24" s="2"/>
      <c r="D24" s="3">
        <f t="shared" si="0"/>
        <v>0</v>
      </c>
      <c r="G24" s="3" t="str">
        <f t="shared" si="2"/>
        <v/>
      </c>
    </row>
    <row r="25" spans="1:9">
      <c r="A25" s="1" t="str">
        <f t="shared" si="1"/>
        <v/>
      </c>
      <c r="B25" s="1"/>
      <c r="C25" s="2"/>
      <c r="D25" s="3">
        <f t="shared" si="0"/>
        <v>0</v>
      </c>
      <c r="G25" s="3" t="str">
        <f t="shared" si="2"/>
        <v/>
      </c>
    </row>
    <row r="26" spans="1:9">
      <c r="A26" s="1" t="str">
        <f t="shared" si="1"/>
        <v/>
      </c>
      <c r="B26" s="2"/>
      <c r="C26" s="2"/>
      <c r="D26" s="3">
        <f t="shared" si="0"/>
        <v>0</v>
      </c>
      <c r="G26" s="3" t="str">
        <f t="shared" si="2"/>
        <v/>
      </c>
    </row>
    <row r="27" spans="1:9">
      <c r="A27" s="1" t="str">
        <f t="shared" si="1"/>
        <v/>
      </c>
      <c r="B27" s="2"/>
      <c r="C27" s="2"/>
      <c r="D27" s="3">
        <f t="shared" si="0"/>
        <v>0</v>
      </c>
      <c r="G27" s="3"/>
    </row>
    <row r="28" spans="1:9">
      <c r="A28" s="1">
        <v>41392</v>
      </c>
      <c r="D28" s="3">
        <f t="shared" si="0"/>
        <v>0</v>
      </c>
      <c r="G28" s="3"/>
    </row>
    <row r="29" spans="1:9">
      <c r="A29" s="1" t="str">
        <f t="shared" si="1"/>
        <v/>
      </c>
      <c r="B29" s="2"/>
      <c r="C29" s="2"/>
      <c r="D29" s="3">
        <f t="shared" si="0"/>
        <v>0</v>
      </c>
      <c r="G29" s="3"/>
    </row>
    <row r="30" spans="1:9">
      <c r="A30" s="1" t="str">
        <f t="shared" si="1"/>
        <v/>
      </c>
      <c r="B30" s="2"/>
      <c r="C30" s="2"/>
      <c r="D30" s="3">
        <f t="shared" si="0"/>
        <v>0</v>
      </c>
      <c r="E30">
        <v>1</v>
      </c>
      <c r="G30" s="3"/>
    </row>
    <row r="31" spans="1:9">
      <c r="A31" s="1" t="str">
        <f t="shared" si="1"/>
        <v/>
      </c>
      <c r="B31" s="2"/>
      <c r="C31" s="2"/>
      <c r="D31" s="3">
        <f t="shared" si="0"/>
        <v>0</v>
      </c>
      <c r="G31" s="3"/>
    </row>
    <row r="32" spans="1:9">
      <c r="A32" s="1" t="str">
        <f t="shared" si="1"/>
        <v/>
      </c>
      <c r="B32" s="2"/>
      <c r="C32" s="2"/>
      <c r="D32" s="3"/>
      <c r="G32" s="3"/>
    </row>
    <row r="33" spans="1:7">
      <c r="A33" s="1" t="str">
        <f t="shared" si="1"/>
        <v/>
      </c>
      <c r="B33" s="2"/>
      <c r="C33" s="2"/>
      <c r="D33" s="3">
        <f t="shared" si="0"/>
        <v>0</v>
      </c>
      <c r="G33" s="3"/>
    </row>
    <row r="34" spans="1:7">
      <c r="A34" s="1">
        <v>41409</v>
      </c>
      <c r="D34" s="3">
        <f t="shared" si="0"/>
        <v>0</v>
      </c>
      <c r="G34" s="3"/>
    </row>
    <row r="35" spans="1:7">
      <c r="A35" s="1">
        <v>41431</v>
      </c>
      <c r="D35" s="3">
        <f t="shared" si="0"/>
        <v>0</v>
      </c>
      <c r="G35" s="3"/>
    </row>
    <row r="36" spans="1:7">
      <c r="A36" s="1">
        <v>41433</v>
      </c>
      <c r="D36" s="3">
        <f t="shared" si="0"/>
        <v>0</v>
      </c>
      <c r="G36" s="3"/>
    </row>
    <row r="37" spans="1:7">
      <c r="A37" s="1" t="str">
        <f t="shared" si="1"/>
        <v/>
      </c>
      <c r="B37" s="2"/>
      <c r="C37" s="2"/>
      <c r="D37" s="3">
        <f t="shared" si="0"/>
        <v>0</v>
      </c>
      <c r="G37" s="3"/>
    </row>
    <row r="38" spans="1:7">
      <c r="A38" s="1" t="str">
        <f t="shared" si="1"/>
        <v/>
      </c>
      <c r="B38" s="2"/>
      <c r="D38" s="3">
        <f t="shared" si="0"/>
        <v>0</v>
      </c>
      <c r="G38" s="3"/>
    </row>
    <row r="39" spans="1:7">
      <c r="A39" s="1">
        <v>41458.700324074074</v>
      </c>
      <c r="B39" s="2"/>
      <c r="C39" s="2"/>
      <c r="D39" s="3">
        <f t="shared" si="0"/>
        <v>0</v>
      </c>
      <c r="E39">
        <v>4</v>
      </c>
      <c r="G39" s="3"/>
    </row>
    <row r="40" spans="1:7">
      <c r="A40" s="1" t="str">
        <f t="shared" si="1"/>
        <v/>
      </c>
      <c r="B40" s="2"/>
      <c r="D40" s="3">
        <f t="shared" si="0"/>
        <v>0</v>
      </c>
      <c r="G40" s="3"/>
    </row>
    <row r="41" spans="1:7">
      <c r="A41" s="1" t="str">
        <f t="shared" si="1"/>
        <v/>
      </c>
      <c r="D41" s="3">
        <f t="shared" si="0"/>
        <v>0</v>
      </c>
      <c r="G41" s="3"/>
    </row>
    <row r="42" spans="1:7">
      <c r="A42" s="1" t="str">
        <f t="shared" si="1"/>
        <v/>
      </c>
      <c r="D42" s="3">
        <f t="shared" si="0"/>
        <v>0</v>
      </c>
      <c r="G42" s="3"/>
    </row>
    <row r="43" spans="1:7">
      <c r="A43" s="1" t="str">
        <f t="shared" si="1"/>
        <v/>
      </c>
      <c r="D43" s="3">
        <f t="shared" si="0"/>
        <v>0</v>
      </c>
      <c r="G43" s="3"/>
    </row>
    <row r="44" spans="1:7">
      <c r="A44" s="1" t="str">
        <f t="shared" si="1"/>
        <v/>
      </c>
      <c r="D44" s="3">
        <f t="shared" si="0"/>
        <v>0</v>
      </c>
      <c r="G44" s="3"/>
    </row>
    <row r="45" spans="1:7">
      <c r="A45" s="1" t="str">
        <f t="shared" si="1"/>
        <v/>
      </c>
      <c r="D45" s="3">
        <f t="shared" si="0"/>
        <v>0</v>
      </c>
      <c r="G45" s="3"/>
    </row>
    <row r="46" spans="1:7">
      <c r="A46" s="1" t="str">
        <f t="shared" si="1"/>
        <v/>
      </c>
      <c r="D46" s="3">
        <f t="shared" si="0"/>
        <v>0</v>
      </c>
      <c r="G46" s="3"/>
    </row>
    <row r="47" spans="1:7">
      <c r="A47" s="1" t="str">
        <f t="shared" si="1"/>
        <v/>
      </c>
      <c r="D47" s="3">
        <f t="shared" si="0"/>
        <v>0</v>
      </c>
      <c r="G47" s="3"/>
    </row>
    <row r="48" spans="1:7">
      <c r="A48" s="1" t="str">
        <f t="shared" si="1"/>
        <v/>
      </c>
      <c r="D48" s="3">
        <f t="shared" si="0"/>
        <v>0</v>
      </c>
      <c r="G48" s="3"/>
    </row>
    <row r="49" spans="1:7">
      <c r="A49" s="1" t="str">
        <f t="shared" si="1"/>
        <v/>
      </c>
      <c r="D49" s="3">
        <f t="shared" si="0"/>
        <v>0</v>
      </c>
      <c r="G49" s="3"/>
    </row>
    <row r="50" spans="1:7">
      <c r="A50" s="1" t="str">
        <f t="shared" si="1"/>
        <v/>
      </c>
      <c r="D50" s="3">
        <f t="shared" si="0"/>
        <v>0</v>
      </c>
      <c r="G50" s="3"/>
    </row>
    <row r="51" spans="1:7">
      <c r="A51" s="1" t="str">
        <f t="shared" si="1"/>
        <v/>
      </c>
      <c r="D51" s="3">
        <f t="shared" si="0"/>
        <v>0</v>
      </c>
      <c r="G51" s="3"/>
    </row>
    <row r="52" spans="1:7">
      <c r="A52" s="1" t="str">
        <f t="shared" si="1"/>
        <v/>
      </c>
      <c r="D52" s="3">
        <f t="shared" si="0"/>
        <v>0</v>
      </c>
      <c r="G52" s="3"/>
    </row>
    <row r="53" spans="1:7">
      <c r="A53" s="1" t="str">
        <f t="shared" si="1"/>
        <v/>
      </c>
      <c r="D53" s="3">
        <f t="shared" si="0"/>
        <v>0</v>
      </c>
      <c r="G53" s="3"/>
    </row>
    <row r="54" spans="1:7">
      <c r="A54" s="1" t="str">
        <f t="shared" si="1"/>
        <v/>
      </c>
      <c r="D54" s="3">
        <f t="shared" si="0"/>
        <v>0</v>
      </c>
      <c r="G54" s="3"/>
    </row>
    <row r="55" spans="1:7">
      <c r="A55" s="1" t="str">
        <f t="shared" si="1"/>
        <v/>
      </c>
      <c r="D55" s="3">
        <f t="shared" si="0"/>
        <v>0</v>
      </c>
      <c r="G55" s="3"/>
    </row>
    <row r="56" spans="1:7">
      <c r="A56" s="1" t="str">
        <f t="shared" si="1"/>
        <v/>
      </c>
      <c r="D56" s="3">
        <f t="shared" si="0"/>
        <v>0</v>
      </c>
      <c r="G56" s="3"/>
    </row>
    <row r="57" spans="1:7">
      <c r="A57" s="1" t="str">
        <f t="shared" si="1"/>
        <v/>
      </c>
      <c r="D57" s="3">
        <f t="shared" si="0"/>
        <v>0</v>
      </c>
      <c r="G57" s="3"/>
    </row>
    <row r="58" spans="1:7">
      <c r="A58" s="1" t="str">
        <f t="shared" si="1"/>
        <v/>
      </c>
      <c r="D58" s="3">
        <f t="shared" si="0"/>
        <v>0</v>
      </c>
      <c r="G58" s="3"/>
    </row>
    <row r="59" spans="1:7">
      <c r="A59" s="1" t="str">
        <f t="shared" si="1"/>
        <v/>
      </c>
      <c r="D59" s="3">
        <f t="shared" si="0"/>
        <v>0</v>
      </c>
      <c r="G59" s="3"/>
    </row>
    <row r="60" spans="1:7">
      <c r="A60" s="1" t="str">
        <f t="shared" si="1"/>
        <v/>
      </c>
      <c r="D60" s="3">
        <f t="shared" si="0"/>
        <v>0</v>
      </c>
      <c r="G60" s="3"/>
    </row>
    <row r="61" spans="1:7">
      <c r="A61" s="1" t="str">
        <f t="shared" si="1"/>
        <v/>
      </c>
      <c r="D61" s="3">
        <f t="shared" si="0"/>
        <v>0</v>
      </c>
      <c r="G61" s="3" t="str">
        <f t="shared" ref="G61:G69" si="3">IF(C61&lt;&gt;"", D61-E61, "")</f>
        <v/>
      </c>
    </row>
    <row r="62" spans="1:7">
      <c r="A62" s="1" t="str">
        <f t="shared" si="1"/>
        <v/>
      </c>
      <c r="D62" s="3">
        <f t="shared" si="0"/>
        <v>0</v>
      </c>
      <c r="G62" s="3" t="str">
        <f t="shared" si="3"/>
        <v/>
      </c>
    </row>
    <row r="63" spans="1:7">
      <c r="A63" s="1" t="str">
        <f t="shared" si="1"/>
        <v/>
      </c>
      <c r="D63" s="3">
        <f t="shared" si="0"/>
        <v>0</v>
      </c>
      <c r="G63" s="3" t="str">
        <f t="shared" si="3"/>
        <v/>
      </c>
    </row>
    <row r="64" spans="1:7">
      <c r="A64" s="1" t="str">
        <f t="shared" si="1"/>
        <v/>
      </c>
      <c r="D64" s="3">
        <f t="shared" si="0"/>
        <v>0</v>
      </c>
      <c r="G64" s="3" t="str">
        <f t="shared" si="3"/>
        <v/>
      </c>
    </row>
    <row r="65" spans="1:7">
      <c r="A65" s="1" t="str">
        <f t="shared" si="1"/>
        <v/>
      </c>
      <c r="D65" s="3">
        <f t="shared" si="0"/>
        <v>0</v>
      </c>
      <c r="G65" s="3" t="str">
        <f t="shared" si="3"/>
        <v/>
      </c>
    </row>
    <row r="66" spans="1:7">
      <c r="A66" s="1" t="str">
        <f t="shared" si="1"/>
        <v/>
      </c>
      <c r="D66" s="3">
        <f t="shared" si="0"/>
        <v>0</v>
      </c>
      <c r="G66" s="3" t="str">
        <f t="shared" si="3"/>
        <v/>
      </c>
    </row>
    <row r="67" spans="1:7">
      <c r="A67" s="1" t="str">
        <f t="shared" si="1"/>
        <v/>
      </c>
      <c r="D67" s="3">
        <f t="shared" si="0"/>
        <v>0</v>
      </c>
      <c r="G67" s="3" t="str">
        <f t="shared" si="3"/>
        <v/>
      </c>
    </row>
    <row r="68" spans="1:7">
      <c r="A68" s="1" t="str">
        <f t="shared" si="1"/>
        <v/>
      </c>
      <c r="D68" s="3">
        <f t="shared" si="0"/>
        <v>0</v>
      </c>
      <c r="G68" s="3" t="str">
        <f t="shared" si="3"/>
        <v/>
      </c>
    </row>
    <row r="69" spans="1:7">
      <c r="A69" s="1" t="str">
        <f t="shared" ref="A69:A101" si="4">IF(B69="", "", B69)</f>
        <v/>
      </c>
      <c r="D69" s="3">
        <f t="shared" ref="D69:D101" si="5">(C69-B69)*24</f>
        <v>0</v>
      </c>
      <c r="G69" s="3" t="str">
        <f t="shared" si="3"/>
        <v/>
      </c>
    </row>
    <row r="70" spans="1:7">
      <c r="A70" s="1" t="str">
        <f t="shared" si="4"/>
        <v/>
      </c>
      <c r="D70" s="3">
        <f t="shared" si="5"/>
        <v>0</v>
      </c>
      <c r="G70" s="3" t="str">
        <f t="shared" ref="G70:G101" si="6">IF(C70&lt;&gt;"", D70-E70, "")</f>
        <v/>
      </c>
    </row>
    <row r="71" spans="1:7">
      <c r="A71" s="1" t="str">
        <f t="shared" si="4"/>
        <v/>
      </c>
      <c r="D71" s="3">
        <f t="shared" si="5"/>
        <v>0</v>
      </c>
      <c r="G71" s="3" t="str">
        <f t="shared" si="6"/>
        <v/>
      </c>
    </row>
    <row r="72" spans="1:7">
      <c r="A72" s="1" t="str">
        <f t="shared" si="4"/>
        <v/>
      </c>
      <c r="D72" s="3">
        <f t="shared" si="5"/>
        <v>0</v>
      </c>
      <c r="G72" s="3" t="str">
        <f t="shared" si="6"/>
        <v/>
      </c>
    </row>
    <row r="73" spans="1:7">
      <c r="A73" s="1" t="str">
        <f t="shared" si="4"/>
        <v/>
      </c>
      <c r="D73" s="3">
        <f t="shared" si="5"/>
        <v>0</v>
      </c>
      <c r="G73" s="3" t="str">
        <f t="shared" si="6"/>
        <v/>
      </c>
    </row>
    <row r="74" spans="1:7">
      <c r="A74" s="1" t="str">
        <f t="shared" si="4"/>
        <v/>
      </c>
      <c r="D74" s="3">
        <f t="shared" si="5"/>
        <v>0</v>
      </c>
      <c r="G74" s="3" t="str">
        <f t="shared" si="6"/>
        <v/>
      </c>
    </row>
    <row r="75" spans="1:7">
      <c r="A75" s="1" t="str">
        <f t="shared" si="4"/>
        <v/>
      </c>
      <c r="D75" s="3">
        <f t="shared" si="5"/>
        <v>0</v>
      </c>
      <c r="G75" s="3" t="str">
        <f t="shared" si="6"/>
        <v/>
      </c>
    </row>
    <row r="76" spans="1:7">
      <c r="A76" s="1" t="str">
        <f t="shared" si="4"/>
        <v/>
      </c>
      <c r="D76" s="3">
        <f t="shared" si="5"/>
        <v>0</v>
      </c>
      <c r="G76" s="3" t="str">
        <f t="shared" si="6"/>
        <v/>
      </c>
    </row>
    <row r="77" spans="1:7">
      <c r="A77" s="1" t="str">
        <f t="shared" si="4"/>
        <v/>
      </c>
      <c r="D77" s="3">
        <f t="shared" si="5"/>
        <v>0</v>
      </c>
      <c r="G77" s="3" t="str">
        <f t="shared" si="6"/>
        <v/>
      </c>
    </row>
    <row r="78" spans="1:7">
      <c r="A78" s="1" t="str">
        <f t="shared" si="4"/>
        <v/>
      </c>
      <c r="D78" s="3">
        <f t="shared" si="5"/>
        <v>0</v>
      </c>
      <c r="G78" s="3" t="str">
        <f t="shared" si="6"/>
        <v/>
      </c>
    </row>
    <row r="79" spans="1:7">
      <c r="A79" s="1" t="str">
        <f t="shared" si="4"/>
        <v/>
      </c>
      <c r="D79" s="3">
        <f t="shared" si="5"/>
        <v>0</v>
      </c>
      <c r="G79" s="3" t="str">
        <f t="shared" si="6"/>
        <v/>
      </c>
    </row>
    <row r="80" spans="1:7">
      <c r="A80" s="1" t="str">
        <f t="shared" si="4"/>
        <v/>
      </c>
      <c r="D80" s="3">
        <f t="shared" si="5"/>
        <v>0</v>
      </c>
      <c r="G80" s="3" t="str">
        <f t="shared" si="6"/>
        <v/>
      </c>
    </row>
    <row r="81" spans="1:7">
      <c r="A81" s="1" t="str">
        <f t="shared" si="4"/>
        <v/>
      </c>
      <c r="D81" s="3">
        <f t="shared" si="5"/>
        <v>0</v>
      </c>
      <c r="G81" s="3" t="str">
        <f t="shared" si="6"/>
        <v/>
      </c>
    </row>
    <row r="82" spans="1:7">
      <c r="A82" s="1" t="str">
        <f t="shared" si="4"/>
        <v/>
      </c>
      <c r="D82" s="3">
        <f t="shared" si="5"/>
        <v>0</v>
      </c>
      <c r="G82" s="3" t="str">
        <f t="shared" si="6"/>
        <v/>
      </c>
    </row>
    <row r="83" spans="1:7">
      <c r="A83" s="1" t="str">
        <f t="shared" si="4"/>
        <v/>
      </c>
      <c r="D83" s="3">
        <f t="shared" si="5"/>
        <v>0</v>
      </c>
      <c r="G83" s="3" t="str">
        <f t="shared" si="6"/>
        <v/>
      </c>
    </row>
    <row r="84" spans="1:7">
      <c r="A84" s="1" t="str">
        <f t="shared" si="4"/>
        <v/>
      </c>
      <c r="D84" s="3">
        <f t="shared" si="5"/>
        <v>0</v>
      </c>
      <c r="G84" s="3" t="str">
        <f t="shared" si="6"/>
        <v/>
      </c>
    </row>
    <row r="85" spans="1:7">
      <c r="A85" s="1" t="str">
        <f t="shared" si="4"/>
        <v/>
      </c>
      <c r="D85" s="3">
        <f t="shared" si="5"/>
        <v>0</v>
      </c>
      <c r="G85" s="3" t="str">
        <f t="shared" si="6"/>
        <v/>
      </c>
    </row>
    <row r="86" spans="1:7">
      <c r="A86" s="1" t="str">
        <f t="shared" si="4"/>
        <v/>
      </c>
      <c r="D86" s="3">
        <f t="shared" si="5"/>
        <v>0</v>
      </c>
      <c r="G86" s="3" t="str">
        <f t="shared" si="6"/>
        <v/>
      </c>
    </row>
    <row r="87" spans="1:7">
      <c r="A87" s="1" t="str">
        <f t="shared" si="4"/>
        <v/>
      </c>
      <c r="D87" s="3">
        <f t="shared" si="5"/>
        <v>0</v>
      </c>
      <c r="G87" s="3" t="str">
        <f t="shared" si="6"/>
        <v/>
      </c>
    </row>
    <row r="88" spans="1:7">
      <c r="A88" s="1" t="str">
        <f t="shared" si="4"/>
        <v/>
      </c>
      <c r="D88" s="3">
        <f t="shared" si="5"/>
        <v>0</v>
      </c>
      <c r="G88" s="3" t="str">
        <f t="shared" si="6"/>
        <v/>
      </c>
    </row>
    <row r="89" spans="1:7">
      <c r="A89" s="1" t="str">
        <f t="shared" si="4"/>
        <v/>
      </c>
      <c r="D89" s="3">
        <f t="shared" si="5"/>
        <v>0</v>
      </c>
      <c r="G89" s="3" t="str">
        <f t="shared" si="6"/>
        <v/>
      </c>
    </row>
    <row r="90" spans="1:7">
      <c r="A90" s="1" t="str">
        <f t="shared" si="4"/>
        <v/>
      </c>
      <c r="D90" s="3">
        <f t="shared" si="5"/>
        <v>0</v>
      </c>
      <c r="G90" s="3" t="str">
        <f t="shared" si="6"/>
        <v/>
      </c>
    </row>
    <row r="91" spans="1:7">
      <c r="A91" s="1" t="str">
        <f t="shared" si="4"/>
        <v/>
      </c>
      <c r="D91" s="3">
        <f t="shared" si="5"/>
        <v>0</v>
      </c>
      <c r="G91" s="3" t="str">
        <f t="shared" si="6"/>
        <v/>
      </c>
    </row>
    <row r="92" spans="1:7">
      <c r="A92" s="1" t="str">
        <f t="shared" si="4"/>
        <v/>
      </c>
      <c r="D92" s="3">
        <f t="shared" si="5"/>
        <v>0</v>
      </c>
      <c r="G92" s="3" t="str">
        <f t="shared" si="6"/>
        <v/>
      </c>
    </row>
    <row r="93" spans="1:7">
      <c r="A93" s="1" t="str">
        <f t="shared" si="4"/>
        <v/>
      </c>
      <c r="D93" s="3">
        <f t="shared" si="5"/>
        <v>0</v>
      </c>
      <c r="G93" s="3" t="str">
        <f t="shared" si="6"/>
        <v/>
      </c>
    </row>
    <row r="94" spans="1:7">
      <c r="A94" s="1" t="str">
        <f t="shared" si="4"/>
        <v/>
      </c>
      <c r="D94" s="3">
        <f t="shared" si="5"/>
        <v>0</v>
      </c>
      <c r="G94" s="3" t="str">
        <f t="shared" si="6"/>
        <v/>
      </c>
    </row>
    <row r="95" spans="1:7">
      <c r="A95" s="1" t="str">
        <f t="shared" si="4"/>
        <v/>
      </c>
      <c r="D95" s="3">
        <f t="shared" si="5"/>
        <v>0</v>
      </c>
      <c r="G95" s="3" t="str">
        <f t="shared" si="6"/>
        <v/>
      </c>
    </row>
    <row r="96" spans="1:7">
      <c r="A96" s="1" t="str">
        <f t="shared" si="4"/>
        <v/>
      </c>
      <c r="D96" s="3">
        <f t="shared" si="5"/>
        <v>0</v>
      </c>
      <c r="G96" s="3" t="str">
        <f t="shared" si="6"/>
        <v/>
      </c>
    </row>
    <row r="97" spans="1:7">
      <c r="A97" s="1" t="str">
        <f t="shared" si="4"/>
        <v/>
      </c>
      <c r="D97" s="3">
        <f t="shared" si="5"/>
        <v>0</v>
      </c>
      <c r="G97" s="3" t="str">
        <f t="shared" si="6"/>
        <v/>
      </c>
    </row>
    <row r="98" spans="1:7">
      <c r="A98" s="1" t="str">
        <f t="shared" si="4"/>
        <v/>
      </c>
      <c r="D98" s="3">
        <f t="shared" si="5"/>
        <v>0</v>
      </c>
      <c r="G98" s="3" t="str">
        <f t="shared" si="6"/>
        <v/>
      </c>
    </row>
    <row r="99" spans="1:7">
      <c r="A99" s="1" t="str">
        <f t="shared" si="4"/>
        <v/>
      </c>
      <c r="D99" s="3">
        <f t="shared" si="5"/>
        <v>0</v>
      </c>
      <c r="G99" s="3" t="str">
        <f t="shared" si="6"/>
        <v/>
      </c>
    </row>
    <row r="100" spans="1:7">
      <c r="A100" s="1" t="str">
        <f t="shared" si="4"/>
        <v/>
      </c>
      <c r="D100" s="3">
        <f t="shared" si="5"/>
        <v>0</v>
      </c>
      <c r="G100" s="3" t="str">
        <f t="shared" si="6"/>
        <v/>
      </c>
    </row>
    <row r="101" spans="1:7">
      <c r="A101" s="1" t="str">
        <f t="shared" si="4"/>
        <v/>
      </c>
      <c r="D101" s="3">
        <f t="shared" si="5"/>
        <v>0</v>
      </c>
      <c r="G101" s="3" t="str">
        <f t="shared" si="6"/>
        <v/>
      </c>
    </row>
  </sheetData>
  <pageMargins left="0.7" right="0.7" top="0.75" bottom="0.75" header="0.3" footer="0.3"/>
  <pageSetup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1.ClockIn">
                <anchor moveWithCells="1" sizeWithCells="1">
                  <from>
                    <xdr:col>1</xdr:col>
                    <xdr:colOff>0</xdr:colOff>
                    <xdr:row>0</xdr:row>
                    <xdr:rowOff>38100</xdr:rowOff>
                  </from>
                  <to>
                    <xdr:col>2</xdr:col>
                    <xdr:colOff>50800</xdr:colOff>
                    <xdr:row>1</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6"/>
  <sheetViews>
    <sheetView workbookViewId="0">
      <selection activeCell="B6" sqref="B6"/>
    </sheetView>
  </sheetViews>
  <sheetFormatPr baseColWidth="10" defaultColWidth="8.83203125" defaultRowHeight="14" x14ac:dyDescent="0"/>
  <cols>
    <col min="3" max="3" width="16.1640625" customWidth="1"/>
    <col min="4" max="4" width="40.5" customWidth="1"/>
    <col min="5" max="5" width="17.83203125" customWidth="1"/>
  </cols>
  <sheetData>
    <row r="1" spans="1:5" s="4" customFormat="1">
      <c r="A1" s="4" t="s">
        <v>11</v>
      </c>
      <c r="B1" s="4" t="s">
        <v>15</v>
      </c>
      <c r="C1" s="4" t="s">
        <v>10</v>
      </c>
      <c r="D1" s="4" t="s">
        <v>9</v>
      </c>
      <c r="E1" s="4" t="s">
        <v>13</v>
      </c>
    </row>
    <row r="2" spans="1:5">
      <c r="A2">
        <v>1</v>
      </c>
      <c r="B2" t="s">
        <v>16</v>
      </c>
      <c r="C2" s="1">
        <v>41009</v>
      </c>
      <c r="D2" t="s">
        <v>12</v>
      </c>
    </row>
    <row r="3" spans="1:5">
      <c r="A3">
        <v>2</v>
      </c>
      <c r="B3" t="s">
        <v>16</v>
      </c>
      <c r="C3" s="1">
        <v>41009</v>
      </c>
      <c r="D3" t="s">
        <v>14</v>
      </c>
      <c r="E3">
        <v>1</v>
      </c>
    </row>
    <row r="4" spans="1:5">
      <c r="A4">
        <v>3</v>
      </c>
      <c r="B4" t="s">
        <v>18</v>
      </c>
      <c r="C4" s="1">
        <v>41009</v>
      </c>
      <c r="D4" t="s">
        <v>17</v>
      </c>
      <c r="E4">
        <v>2</v>
      </c>
    </row>
    <row r="5" spans="1:5">
      <c r="A5">
        <v>4</v>
      </c>
      <c r="B5" t="s">
        <v>19</v>
      </c>
      <c r="C5" s="1">
        <v>41009</v>
      </c>
      <c r="D5" t="s">
        <v>20</v>
      </c>
    </row>
    <row r="6" spans="1:5">
      <c r="A6">
        <v>5</v>
      </c>
      <c r="B6" t="s">
        <v>16</v>
      </c>
      <c r="C6" s="1">
        <v>41010</v>
      </c>
      <c r="D6" t="s">
        <v>22</v>
      </c>
      <c r="E6">
        <v>1</v>
      </c>
    </row>
  </sheetData>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
  <sheetViews>
    <sheetView workbookViewId="0"/>
  </sheetViews>
  <sheetFormatPr baseColWidth="10" defaultColWidth="8.83203125" defaultRowHeight="14" x14ac:dyDescent="0"/>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Timecard</vt:lpstr>
      <vt:lpstr>Sprints</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Winston Kotzan</dc:creator>
  <cp:lastModifiedBy>Winston Kotzan</cp:lastModifiedBy>
  <dcterms:created xsi:type="dcterms:W3CDTF">2013-04-07T01:14:31Z</dcterms:created>
  <dcterms:modified xsi:type="dcterms:W3CDTF">2013-12-02T04:40:41Z</dcterms:modified>
</cp:coreProperties>
</file>