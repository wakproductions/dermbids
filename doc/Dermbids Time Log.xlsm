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5" i="1"/>
  <c r="G17"/>
  <c r="G18"/>
  <c r="G19"/>
  <c r="G20"/>
  <c r="G21"/>
  <c r="G22"/>
  <c r="G23"/>
  <c r="G24"/>
  <c r="G25"/>
  <c r="G26"/>
  <c r="G14"/>
  <c r="G13"/>
  <c r="G11"/>
  <c r="G10"/>
  <c r="G7"/>
  <c r="G6"/>
  <c r="A32"/>
  <c r="A33"/>
  <c r="D4"/>
  <c r="D5"/>
  <c r="D8"/>
  <c r="D9"/>
  <c r="D12"/>
  <c r="D13"/>
  <c r="D15"/>
  <c r="D16"/>
  <c r="G16" s="1"/>
  <c r="D17"/>
  <c r="D18"/>
  <c r="D19"/>
  <c r="D20"/>
  <c r="D21"/>
  <c r="D22"/>
  <c r="D23"/>
  <c r="D24"/>
  <c r="D25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3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<sst xmlns="http://schemas.openxmlformats.org/spreadsheetml/2006/main" count="41" uniqueCount="36">
  <si>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</si>
  <si>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</si>
  <si>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</si>
  <si>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</si>
  <si>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</si>
  <si>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</si>
  <si>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</si>
  <si>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</si>
  <si>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</si>
  <si>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</si>
  <si>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</si>
  <si>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</si>
  <si>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</si>
  <si>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</si>
  <si>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</si>
  <si>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</si>
  <si>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</si>
  <si>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</si>
  <si>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</si>
  <si>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</si>
  <si>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</si>
  <si>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</si>
  <si>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</si>
  <si>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</si>
  <si>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</si>
  <si>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</si>
  <si>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</si>
  <si>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</si>
  <si>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</si>
  <si>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</si>
  <si>
    <t>Continued work on email system &amp; filtering/display of clinics to send quote requests to</t>
  </si>
  <si>
    <t>Planned out structure for sending patient details to clinic</t>
  </si>
  <si>
    <t>Refactoring code to handle the sending of full patient details to clinic</t>
  </si>
  <si>
    <t>Continued refactoring of email system to accommodate "send patient full details"</t>
  </si>
  <si>
    <t>Finished refactoring/testing email system, begin planning for image display enhancements + sample data load</t>
  </si>
  <si>
    <t>Working on setup of production server.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</si>
</sst>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9" activePane="bottomLeft" state="frozenSplit"/>
      <selection pane="bottomLeft" activeCell="I18" sqref="I18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SUM(G3:G102)</f>
        <v>39.049999999918512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>
        <v>41551</v>
      </c>
      <c r="B12" s="2"/>
      <c r="C12" s="2"/>
      <c r="D12" s="3">
        <f t="shared" si="0"/>
        <v>0</v>
      </c>
      <c r="G12" s="3">
        <v>6</v>
      </c>
      <c r="I12" s="5" t="s">
        <v>30</v>
      </c>
    </row>
    <row r="13" spans="1:9">
      <c r="A13" s="1">
        <f t="shared" ref="A13:A68" si="1">IF(B13="", "", B13)</f>
        <v>41552.4375</v>
      </c>
      <c r="B13" s="2">
        <v>41552.4375</v>
      </c>
      <c r="C13" s="2">
        <v>41552.465717592589</v>
      </c>
      <c r="D13" s="3">
        <f t="shared" si="0"/>
        <v>0.67722222214797512</v>
      </c>
      <c r="G13" s="3">
        <f>IF(E13&lt;&gt;"", D13-E13, IF(D13&lt;&gt;"", D13, ""))</f>
        <v>0.67722222214797512</v>
      </c>
      <c r="I13" s="5" t="s">
        <v>31</v>
      </c>
    </row>
    <row r="14" spans="1:9">
      <c r="A14" s="1">
        <v>41553</v>
      </c>
      <c r="B14" s="2"/>
      <c r="C14" s="2"/>
      <c r="D14" s="3">
        <v>2.5</v>
      </c>
      <c r="G14" s="3">
        <f>IF(E14&lt;&gt;"", D14-E14, IF(D14&lt;&gt;0, D14, ""))</f>
        <v>2.5</v>
      </c>
      <c r="I14" s="5" t="s">
        <v>32</v>
      </c>
    </row>
    <row r="15" spans="1:9">
      <c r="A15" s="1">
        <v>41554</v>
      </c>
      <c r="B15" s="2">
        <v>41554.583333333336</v>
      </c>
      <c r="C15" s="2">
        <v>41554.791666666664</v>
      </c>
      <c r="D15" s="3">
        <f t="shared" si="0"/>
        <v>4.9999999998835847</v>
      </c>
      <c r="G15" s="3">
        <f t="shared" ref="G15:G26" si="2">IF(E15&lt;&gt;"", D15-E15, IF(D15&lt;&gt;0, D15, ""))</f>
        <v>4.9999999998835847</v>
      </c>
      <c r="I15" s="5" t="s">
        <v>33</v>
      </c>
    </row>
    <row r="16" spans="1:9" ht="30">
      <c r="A16" s="1">
        <v>41554</v>
      </c>
      <c r="B16" s="2">
        <v>41554.875</v>
      </c>
      <c r="C16" s="2">
        <v>41554.958333333336</v>
      </c>
      <c r="D16" s="3">
        <f t="shared" si="0"/>
        <v>2.0000000000582077</v>
      </c>
      <c r="G16" s="3">
        <f t="shared" si="2"/>
        <v>2.0000000000582077</v>
      </c>
      <c r="I16" s="5" t="s">
        <v>34</v>
      </c>
    </row>
    <row r="17" spans="1:9">
      <c r="A17" s="1">
        <f t="shared" si="1"/>
        <v>41555.814930555556</v>
      </c>
      <c r="B17" s="2">
        <v>41555.814930555556</v>
      </c>
      <c r="C17" s="2">
        <v>41555.853379629632</v>
      </c>
      <c r="D17" s="3">
        <f t="shared" si="0"/>
        <v>0.92277777782874182</v>
      </c>
      <c r="G17" s="3">
        <f t="shared" si="2"/>
        <v>0.92277777782874182</v>
      </c>
      <c r="I17" s="5" t="s">
        <v>35</v>
      </c>
    </row>
    <row r="18" spans="1:9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9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9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9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9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9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9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9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9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9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9">
      <c r="A28" s="1">
        <v>41392</v>
      </c>
      <c r="D28" s="3">
        <f t="shared" si="0"/>
        <v>0</v>
      </c>
      <c r="G28" s="3"/>
    </row>
    <row r="29" spans="1:9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9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9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9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ref="G61:G69" si="3">IF(C61&lt;&gt;"", D61-E61, "")</f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3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3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3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3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3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3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3"/>
        <v/>
      </c>
    </row>
    <row r="69" spans="1:7">
      <c r="A69" s="1" t="str">
        <f t="shared" ref="A69:A101" si="4">IF(B69="", "", B69)</f>
        <v/>
      </c>
      <c r="D69" s="3">
        <f t="shared" ref="D69:D101" si="5">(C69-B69)*24</f>
        <v>0</v>
      </c>
      <c r="G69" s="3" t="str">
        <f t="shared" si="3"/>
        <v/>
      </c>
    </row>
    <row r="70" spans="1:7">
      <c r="A70" s="1" t="str">
        <f t="shared" si="4"/>
        <v/>
      </c>
      <c r="D70" s="3">
        <f t="shared" si="5"/>
        <v>0</v>
      </c>
      <c r="G70" s="3" t="str">
        <f t="shared" ref="G70:G101" si="6">IF(C70&lt;&gt;"", D70-E70, "")</f>
        <v/>
      </c>
    </row>
    <row r="71" spans="1:7">
      <c r="A71" s="1" t="str">
        <f t="shared" si="4"/>
        <v/>
      </c>
      <c r="D71" s="3">
        <f t="shared" si="5"/>
        <v>0</v>
      </c>
      <c r="G71" s="3" t="str">
        <f t="shared" si="6"/>
        <v/>
      </c>
    </row>
    <row r="72" spans="1:7">
      <c r="A72" s="1" t="str">
        <f t="shared" si="4"/>
        <v/>
      </c>
      <c r="D72" s="3">
        <f t="shared" si="5"/>
        <v>0</v>
      </c>
      <c r="G72" s="3" t="str">
        <f t="shared" si="6"/>
        <v/>
      </c>
    </row>
    <row r="73" spans="1:7">
      <c r="A73" s="1" t="str">
        <f t="shared" si="4"/>
        <v/>
      </c>
      <c r="D73" s="3">
        <f t="shared" si="5"/>
        <v>0</v>
      </c>
      <c r="G73" s="3" t="str">
        <f t="shared" si="6"/>
        <v/>
      </c>
    </row>
    <row r="74" spans="1:7">
      <c r="A74" s="1" t="str">
        <f t="shared" si="4"/>
        <v/>
      </c>
      <c r="D74" s="3">
        <f t="shared" si="5"/>
        <v>0</v>
      </c>
      <c r="G74" s="3" t="str">
        <f t="shared" si="6"/>
        <v/>
      </c>
    </row>
    <row r="75" spans="1:7">
      <c r="A75" s="1" t="str">
        <f t="shared" si="4"/>
        <v/>
      </c>
      <c r="D75" s="3">
        <f t="shared" si="5"/>
        <v>0</v>
      </c>
      <c r="G75" s="3" t="str">
        <f t="shared" si="6"/>
        <v/>
      </c>
    </row>
    <row r="76" spans="1:7">
      <c r="A76" s="1" t="str">
        <f t="shared" si="4"/>
        <v/>
      </c>
      <c r="D76" s="3">
        <f t="shared" si="5"/>
        <v>0</v>
      </c>
      <c r="G76" s="3" t="str">
        <f t="shared" si="6"/>
        <v/>
      </c>
    </row>
    <row r="77" spans="1:7">
      <c r="A77" s="1" t="str">
        <f t="shared" si="4"/>
        <v/>
      </c>
      <c r="D77" s="3">
        <f t="shared" si="5"/>
        <v>0</v>
      </c>
      <c r="G77" s="3" t="str">
        <f t="shared" si="6"/>
        <v/>
      </c>
    </row>
    <row r="78" spans="1:7">
      <c r="A78" s="1" t="str">
        <f t="shared" si="4"/>
        <v/>
      </c>
      <c r="D78" s="3">
        <f t="shared" si="5"/>
        <v>0</v>
      </c>
      <c r="G78" s="3" t="str">
        <f t="shared" si="6"/>
        <v/>
      </c>
    </row>
    <row r="79" spans="1:7">
      <c r="A79" s="1" t="str">
        <f t="shared" si="4"/>
        <v/>
      </c>
      <c r="D79" s="3">
        <f t="shared" si="5"/>
        <v>0</v>
      </c>
      <c r="G79" s="3" t="str">
        <f t="shared" si="6"/>
        <v/>
      </c>
    </row>
    <row r="80" spans="1:7">
      <c r="A80" s="1" t="str">
        <f t="shared" si="4"/>
        <v/>
      </c>
      <c r="D80" s="3">
        <f t="shared" si="5"/>
        <v>0</v>
      </c>
      <c r="G80" s="3" t="str">
        <f t="shared" si="6"/>
        <v/>
      </c>
    </row>
    <row r="81" spans="1:7">
      <c r="A81" s="1" t="str">
        <f t="shared" si="4"/>
        <v/>
      </c>
      <c r="D81" s="3">
        <f t="shared" si="5"/>
        <v>0</v>
      </c>
      <c r="G81" s="3" t="str">
        <f t="shared" si="6"/>
        <v/>
      </c>
    </row>
    <row r="82" spans="1:7">
      <c r="A82" s="1" t="str">
        <f t="shared" si="4"/>
        <v/>
      </c>
      <c r="D82" s="3">
        <f t="shared" si="5"/>
        <v>0</v>
      </c>
      <c r="G82" s="3" t="str">
        <f t="shared" si="6"/>
        <v/>
      </c>
    </row>
    <row r="83" spans="1:7">
      <c r="A83" s="1" t="str">
        <f t="shared" si="4"/>
        <v/>
      </c>
      <c r="D83" s="3">
        <f t="shared" si="5"/>
        <v>0</v>
      </c>
      <c r="G83" s="3" t="str">
        <f t="shared" si="6"/>
        <v/>
      </c>
    </row>
    <row r="84" spans="1:7">
      <c r="A84" s="1" t="str">
        <f t="shared" si="4"/>
        <v/>
      </c>
      <c r="D84" s="3">
        <f t="shared" si="5"/>
        <v>0</v>
      </c>
      <c r="G84" s="3" t="str">
        <f t="shared" si="6"/>
        <v/>
      </c>
    </row>
    <row r="85" spans="1:7">
      <c r="A85" s="1" t="str">
        <f t="shared" si="4"/>
        <v/>
      </c>
      <c r="D85" s="3">
        <f t="shared" si="5"/>
        <v>0</v>
      </c>
      <c r="G85" s="3" t="str">
        <f t="shared" si="6"/>
        <v/>
      </c>
    </row>
    <row r="86" spans="1:7">
      <c r="A86" s="1" t="str">
        <f t="shared" si="4"/>
        <v/>
      </c>
      <c r="D86" s="3">
        <f t="shared" si="5"/>
        <v>0</v>
      </c>
      <c r="G86" s="3" t="str">
        <f t="shared" si="6"/>
        <v/>
      </c>
    </row>
    <row r="87" spans="1:7">
      <c r="A87" s="1" t="str">
        <f t="shared" si="4"/>
        <v/>
      </c>
      <c r="D87" s="3">
        <f t="shared" si="5"/>
        <v>0</v>
      </c>
      <c r="G87" s="3" t="str">
        <f t="shared" si="6"/>
        <v/>
      </c>
    </row>
    <row r="88" spans="1:7">
      <c r="A88" s="1" t="str">
        <f t="shared" si="4"/>
        <v/>
      </c>
      <c r="D88" s="3">
        <f t="shared" si="5"/>
        <v>0</v>
      </c>
      <c r="G88" s="3" t="str">
        <f t="shared" si="6"/>
        <v/>
      </c>
    </row>
    <row r="89" spans="1:7">
      <c r="A89" s="1" t="str">
        <f t="shared" si="4"/>
        <v/>
      </c>
      <c r="D89" s="3">
        <f t="shared" si="5"/>
        <v>0</v>
      </c>
      <c r="G89" s="3" t="str">
        <f t="shared" si="6"/>
        <v/>
      </c>
    </row>
    <row r="90" spans="1:7">
      <c r="A90" s="1" t="str">
        <f t="shared" si="4"/>
        <v/>
      </c>
      <c r="D90" s="3">
        <f t="shared" si="5"/>
        <v>0</v>
      </c>
      <c r="G90" s="3" t="str">
        <f t="shared" si="6"/>
        <v/>
      </c>
    </row>
    <row r="91" spans="1:7">
      <c r="A91" s="1" t="str">
        <f t="shared" si="4"/>
        <v/>
      </c>
      <c r="D91" s="3">
        <f t="shared" si="5"/>
        <v>0</v>
      </c>
      <c r="G91" s="3" t="str">
        <f t="shared" si="6"/>
        <v/>
      </c>
    </row>
    <row r="92" spans="1:7">
      <c r="A92" s="1" t="str">
        <f t="shared" si="4"/>
        <v/>
      </c>
      <c r="D92" s="3">
        <f t="shared" si="5"/>
        <v>0</v>
      </c>
      <c r="G92" s="3" t="str">
        <f t="shared" si="6"/>
        <v/>
      </c>
    </row>
    <row r="93" spans="1:7">
      <c r="A93" s="1" t="str">
        <f t="shared" si="4"/>
        <v/>
      </c>
      <c r="D93" s="3">
        <f t="shared" si="5"/>
        <v>0</v>
      </c>
      <c r="G93" s="3" t="str">
        <f t="shared" si="6"/>
        <v/>
      </c>
    </row>
    <row r="94" spans="1:7">
      <c r="A94" s="1" t="str">
        <f t="shared" si="4"/>
        <v/>
      </c>
      <c r="D94" s="3">
        <f t="shared" si="5"/>
        <v>0</v>
      </c>
      <c r="G94" s="3" t="str">
        <f t="shared" si="6"/>
        <v/>
      </c>
    </row>
    <row r="95" spans="1:7">
      <c r="A95" s="1" t="str">
        <f t="shared" si="4"/>
        <v/>
      </c>
      <c r="D95" s="3">
        <f t="shared" si="5"/>
        <v>0</v>
      </c>
      <c r="G95" s="3" t="str">
        <f t="shared" si="6"/>
        <v/>
      </c>
    </row>
    <row r="96" spans="1:7">
      <c r="A96" s="1" t="str">
        <f t="shared" si="4"/>
        <v/>
      </c>
      <c r="D96" s="3">
        <f t="shared" si="5"/>
        <v>0</v>
      </c>
      <c r="G96" s="3" t="str">
        <f t="shared" si="6"/>
        <v/>
      </c>
    </row>
    <row r="97" spans="1:7">
      <c r="A97" s="1" t="str">
        <f t="shared" si="4"/>
        <v/>
      </c>
      <c r="D97" s="3">
        <f t="shared" si="5"/>
        <v>0</v>
      </c>
      <c r="G97" s="3" t="str">
        <f t="shared" si="6"/>
        <v/>
      </c>
    </row>
    <row r="98" spans="1:7">
      <c r="A98" s="1" t="str">
        <f t="shared" si="4"/>
        <v/>
      </c>
      <c r="D98" s="3">
        <f t="shared" si="5"/>
        <v>0</v>
      </c>
      <c r="G98" s="3" t="str">
        <f t="shared" si="6"/>
        <v/>
      </c>
    </row>
    <row r="99" spans="1:7">
      <c r="A99" s="1" t="str">
        <f t="shared" si="4"/>
        <v/>
      </c>
      <c r="D99" s="3">
        <f t="shared" si="5"/>
        <v>0</v>
      </c>
      <c r="G99" s="3" t="str">
        <f t="shared" si="6"/>
        <v/>
      </c>
    </row>
    <row r="100" spans="1:7">
      <c r="A100" s="1" t="str">
        <f t="shared" si="4"/>
        <v/>
      </c>
      <c r="D100" s="3">
        <f t="shared" si="5"/>
        <v>0</v>
      </c>
      <c r="G100" s="3" t="str">
        <f t="shared" si="6"/>
        <v/>
      </c>
    </row>
    <row r="101" spans="1:7">
      <c r="A101" s="1" t="str">
        <f t="shared" si="4"/>
        <v/>
      </c>
      <c r="D101" s="3">
        <f t="shared" si="5"/>
        <v>0</v>
      </c>
      <c r="G101" s="3" t="str">
        <f t="shared" si="6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2013-10-09T00:29:04Z</dcterms:modified>
</cp:coreProperties>
</file>